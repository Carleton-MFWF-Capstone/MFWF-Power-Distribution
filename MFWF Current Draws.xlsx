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am\OneDrive\Documents\Carleton\Fourth Year\Engineering Design Project - MAAE 4907\Documentation\"/>
    </mc:Choice>
  </mc:AlternateContent>
  <xr:revisionPtr revIDLastSave="8" documentId="14_{776CCB41-7BDF-4274-B096-358C40231B86}" xr6:coauthVersionLast="36" xr6:coauthVersionMax="36" xr10:uidLastSave="{AE0A466B-F8A7-4874-AFD4-5D92E9CFCC23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7" i="1"/>
  <c r="E5" i="1"/>
  <c r="E4" i="1"/>
  <c r="E3" i="1"/>
  <c r="I5" i="1"/>
  <c r="I10" i="1" l="1"/>
  <c r="I11" i="1"/>
  <c r="I12" i="1"/>
  <c r="I9" i="1"/>
  <c r="E12" i="1"/>
  <c r="E11" i="1"/>
  <c r="E9" i="1" l="1"/>
  <c r="E10" i="1"/>
  <c r="I4" i="1" l="1"/>
  <c r="I6" i="1"/>
  <c r="I7" i="1"/>
  <c r="I8" i="1"/>
  <c r="I3" i="1"/>
  <c r="C5" i="1"/>
  <c r="C4" i="1"/>
  <c r="C3" i="1"/>
  <c r="E7" i="1" l="1"/>
  <c r="E8" i="1"/>
  <c r="E6" i="1" l="1"/>
</calcChain>
</file>

<file path=xl/sharedStrings.xml><?xml version="1.0" encoding="utf-8"?>
<sst xmlns="http://schemas.openxmlformats.org/spreadsheetml/2006/main" count="21" uniqueCount="18">
  <si>
    <t xml:space="preserve">Component </t>
  </si>
  <si>
    <t xml:space="preserve">Number </t>
  </si>
  <si>
    <t>Raspberry Pi 4</t>
  </si>
  <si>
    <t>Camera</t>
  </si>
  <si>
    <t>IMU</t>
  </si>
  <si>
    <t>Required Voltage [V]</t>
  </si>
  <si>
    <t>Weight [g]</t>
  </si>
  <si>
    <t>LIDAR</t>
  </si>
  <si>
    <t>Power [W]</t>
  </si>
  <si>
    <t>Coil 1</t>
  </si>
  <si>
    <t>Coil 2</t>
  </si>
  <si>
    <t>Spec Sheet Data</t>
  </si>
  <si>
    <t>Load Current [mA]</t>
  </si>
  <si>
    <t>Max Current Draw [mA]</t>
  </si>
  <si>
    <t>Experimental Data</t>
  </si>
  <si>
    <t>Mini Motor</t>
  </si>
  <si>
    <t>Hobby Motor</t>
  </si>
  <si>
    <t xml:space="preserve">No Load Current [mA]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</si>
</sst>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1" xfId="0" applyFill="1" applyBorder="1"/>
    <xf numFmtId="0" fontId="0" fillId="0" borderId="12" xfId="0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workbookViewId="0">
      <selection activeCell="D9" sqref="D9"/>
    </sheetView>
  </sheetViews>
  <sheetFormatPr defaultRowHeight="14.5" x14ac:dyDescent="0.35"/>
  <cols>
    <col min="1" max="1" width="8.08984375" style="1" bestFit="1" customWidth="1"/>
    <col min="2" max="2" width="14.1796875" bestFit="1" customWidth="1"/>
    <col min="3" max="3" width="12.81640625" customWidth="1"/>
    <col min="4" max="4" width="13.08984375" customWidth="1"/>
    <col min="5" max="5" width="9.7265625" bestFit="1" customWidth="1"/>
    <col min="6" max="6" width="9.453125" bestFit="1" customWidth="1"/>
    <col min="7" max="7" width="13.26953125" customWidth="1"/>
    <col min="8" max="8" width="13.81640625" customWidth="1"/>
    <col min="9" max="9" width="14.90625" customWidth="1"/>
  </cols>
  <sheetData>
    <row r="1" spans="1:9" x14ac:dyDescent="0.35">
      <c r="A1" s="19" t="s">
        <v>1</v>
      </c>
      <c r="B1" s="21" t="s">
        <v>0</v>
      </c>
      <c r="C1" s="23" t="s">
        <v>11</v>
      </c>
      <c r="D1" s="24"/>
      <c r="E1" s="24"/>
      <c r="F1" s="25"/>
      <c r="G1" s="23" t="s">
        <v>14</v>
      </c>
      <c r="H1" s="24"/>
      <c r="I1" s="25"/>
    </row>
    <row r="2" spans="1:9" ht="29.5" thickBot="1" x14ac:dyDescent="0.4">
      <c r="A2" s="20"/>
      <c r="B2" s="22"/>
      <c r="C2" s="13" t="s">
        <v>13</v>
      </c>
      <c r="D2" s="14" t="s">
        <v>5</v>
      </c>
      <c r="E2" s="14" t="s">
        <v>8</v>
      </c>
      <c r="F2" s="15" t="s">
        <v>6</v>
      </c>
      <c r="G2" s="16" t="s">
        <v>17</v>
      </c>
      <c r="H2" s="17" t="s">
        <v>12</v>
      </c>
      <c r="I2" s="18" t="s">
        <v>8</v>
      </c>
    </row>
    <row r="3" spans="1:9" x14ac:dyDescent="0.35">
      <c r="A3" s="1">
        <v>1</v>
      </c>
      <c r="B3" t="s">
        <v>2</v>
      </c>
      <c r="C3" s="3">
        <f>1.28*1000</f>
        <v>1280</v>
      </c>
      <c r="D3" s="4">
        <v>5</v>
      </c>
      <c r="E3" s="4">
        <f>C3*D3/1000</f>
        <v>6.4</v>
      </c>
      <c r="F3" s="5">
        <v>46</v>
      </c>
      <c r="G3" s="3"/>
      <c r="H3" s="4"/>
      <c r="I3" s="5">
        <f>D3*H3/1000</f>
        <v>0</v>
      </c>
    </row>
    <row r="4" spans="1:9" x14ac:dyDescent="0.35">
      <c r="A4" s="1">
        <v>2</v>
      </c>
      <c r="B4" t="s">
        <v>3</v>
      </c>
      <c r="C4" s="3">
        <f>0.11*1000</f>
        <v>110</v>
      </c>
      <c r="D4" s="4">
        <v>5</v>
      </c>
      <c r="E4" s="4">
        <f>C4*D4/1000</f>
        <v>0.55000000000000004</v>
      </c>
      <c r="F4" s="5">
        <v>1.52</v>
      </c>
      <c r="G4" s="3"/>
      <c r="H4" s="4"/>
      <c r="I4" s="5">
        <f t="shared" ref="I4:I8" si="0">D4*H4/1000</f>
        <v>0</v>
      </c>
    </row>
    <row r="5" spans="1:9" x14ac:dyDescent="0.35">
      <c r="A5" s="1">
        <v>3</v>
      </c>
      <c r="B5" t="s">
        <v>4</v>
      </c>
      <c r="C5" s="3">
        <f>0.0032*1000</f>
        <v>3.2</v>
      </c>
      <c r="D5" s="4">
        <v>3.3</v>
      </c>
      <c r="E5" s="4">
        <f>C5*D5/1000</f>
        <v>1.056E-2</v>
      </c>
      <c r="F5" s="5">
        <v>25</v>
      </c>
      <c r="G5" s="3">
        <v>4</v>
      </c>
      <c r="H5" s="6">
        <v>7.2</v>
      </c>
      <c r="I5" s="5">
        <f>D5*H5/1000</f>
        <v>2.3759999999999996E-2</v>
      </c>
    </row>
    <row r="6" spans="1:9" x14ac:dyDescent="0.35">
      <c r="A6" s="1">
        <v>4</v>
      </c>
      <c r="B6" t="s">
        <v>7</v>
      </c>
      <c r="C6" s="3"/>
      <c r="D6" s="4">
        <v>3.3</v>
      </c>
      <c r="E6" s="4">
        <f t="shared" ref="E4:E10" si="1">C6*D6</f>
        <v>0</v>
      </c>
      <c r="F6" s="5">
        <v>1.3</v>
      </c>
      <c r="G6" s="3">
        <v>0.04</v>
      </c>
      <c r="H6" s="6">
        <v>1.77</v>
      </c>
      <c r="I6" s="5">
        <f t="shared" si="0"/>
        <v>5.840999999999999E-3</v>
      </c>
    </row>
    <row r="7" spans="1:9" x14ac:dyDescent="0.35">
      <c r="A7" s="1">
        <v>5</v>
      </c>
      <c r="B7" t="s">
        <v>9</v>
      </c>
      <c r="C7" s="3">
        <f>1/1000</f>
        <v>1E-3</v>
      </c>
      <c r="D7" s="4">
        <v>12</v>
      </c>
      <c r="E7" s="4">
        <f t="shared" si="1"/>
        <v>1.2E-2</v>
      </c>
      <c r="F7" s="5"/>
      <c r="G7" s="3"/>
      <c r="H7" s="4"/>
      <c r="I7" s="5">
        <f t="shared" si="0"/>
        <v>0</v>
      </c>
    </row>
    <row r="8" spans="1:9" x14ac:dyDescent="0.35">
      <c r="A8" s="2">
        <v>6</v>
      </c>
      <c r="B8" s="4" t="s">
        <v>10</v>
      </c>
      <c r="C8" s="3">
        <f>1/1000</f>
        <v>1E-3</v>
      </c>
      <c r="D8" s="4">
        <v>12</v>
      </c>
      <c r="E8" s="4">
        <f t="shared" si="1"/>
        <v>1.2E-2</v>
      </c>
      <c r="F8" s="5"/>
      <c r="G8" s="3"/>
      <c r="H8" s="4"/>
      <c r="I8" s="5">
        <f t="shared" si="0"/>
        <v>0</v>
      </c>
    </row>
    <row r="9" spans="1:9" x14ac:dyDescent="0.35">
      <c r="A9" s="2">
        <v>7</v>
      </c>
      <c r="B9" s="4" t="s">
        <v>15</v>
      </c>
      <c r="C9" s="3"/>
      <c r="D9" s="6">
        <v>3.3</v>
      </c>
      <c r="E9" s="4">
        <f t="shared" si="1"/>
        <v>0</v>
      </c>
      <c r="F9" s="5"/>
      <c r="G9" s="4">
        <v>58</v>
      </c>
      <c r="H9" s="6"/>
      <c r="I9" s="5">
        <f>D9*G9/1000</f>
        <v>0.19139999999999999</v>
      </c>
    </row>
    <row r="10" spans="1:9" x14ac:dyDescent="0.35">
      <c r="A10" s="7">
        <v>8</v>
      </c>
      <c r="B10" s="5" t="s">
        <v>16</v>
      </c>
      <c r="C10" s="4"/>
      <c r="D10" s="6">
        <v>3.3</v>
      </c>
      <c r="E10" s="4">
        <f t="shared" si="1"/>
        <v>0</v>
      </c>
      <c r="F10" s="5"/>
      <c r="G10" s="4">
        <v>56</v>
      </c>
      <c r="H10" s="6"/>
      <c r="I10" s="5">
        <f t="shared" ref="I10:I12" si="2">D10*G10/1000</f>
        <v>0.18479999999999999</v>
      </c>
    </row>
    <row r="11" spans="1:9" x14ac:dyDescent="0.35">
      <c r="A11" s="7">
        <v>9</v>
      </c>
      <c r="B11" s="4" t="s">
        <v>15</v>
      </c>
      <c r="C11" s="3"/>
      <c r="D11" s="6">
        <v>5</v>
      </c>
      <c r="E11" s="4">
        <f t="shared" ref="E11:E12" si="3">C11*D11</f>
        <v>0</v>
      </c>
      <c r="F11" s="5"/>
      <c r="G11" s="4">
        <v>75</v>
      </c>
      <c r="H11" s="6"/>
      <c r="I11" s="5">
        <f t="shared" si="2"/>
        <v>0.375</v>
      </c>
    </row>
    <row r="12" spans="1:9" x14ac:dyDescent="0.35">
      <c r="A12" s="8">
        <v>10</v>
      </c>
      <c r="B12" s="9" t="s">
        <v>16</v>
      </c>
      <c r="C12" s="10"/>
      <c r="D12" s="11">
        <v>5</v>
      </c>
      <c r="E12" s="9">
        <f t="shared" si="3"/>
        <v>0</v>
      </c>
      <c r="F12" s="12"/>
      <c r="G12" s="9">
        <v>75</v>
      </c>
      <c r="H12" s="11"/>
      <c r="I12" s="12">
        <f t="shared" si="2"/>
        <v>0.375</v>
      </c>
    </row>
  </sheetData>
  <mergeCells count="4">
    <mergeCell ref="A1:A2"/>
    <mergeCell ref="B1:B2"/>
    <mergeCell ref="C1:F1"/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2015-06-05T18:17:20Z</dcterms:created>
  <dcterms:modified xsi:type="dcterms:W3CDTF">2026-04-04T14:50:14Z</dcterms:modified>
</cp:coreProperties>
</file>