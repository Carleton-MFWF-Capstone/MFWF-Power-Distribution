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am\OneDrive\Documents\Carleton\Fourth Year\Engineering Design Project - MAAE 4907\Documentation\"/>
    </mc:Choice>
  </mc:AlternateContent>
  <xr:revisionPtr revIDLastSave="12" documentId="11_F25DC773A252ABDACC1048FB29D871605BDE58E7" xr6:coauthVersionLast="36" xr6:coauthVersionMax="36" xr10:uidLastSave="{9D62322D-5F37-4487-BF42-2583A455D33C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8" i="1" l="1"/>
  <c r="AB18" i="1" s="1"/>
  <c r="B19" i="1" l="1"/>
  <c r="A19" i="1" s="1"/>
  <c r="AA3" i="1" l="1"/>
  <c r="AB3" i="1" s="1"/>
  <c r="A4" i="1"/>
  <c r="Z4" i="1" s="1"/>
  <c r="AA4" i="1" s="1"/>
  <c r="AB4" i="1" s="1"/>
  <c r="A5" i="1"/>
  <c r="Z5" i="1" s="1"/>
  <c r="AA5" i="1" s="1"/>
  <c r="AB5" i="1" s="1"/>
  <c r="A6" i="1"/>
  <c r="Z6" i="1" s="1"/>
  <c r="AA6" i="1" s="1"/>
  <c r="AB6" i="1" s="1"/>
  <c r="A7" i="1"/>
  <c r="Z7" i="1" s="1"/>
  <c r="AA7" i="1" s="1"/>
  <c r="AB7" i="1" s="1"/>
  <c r="A8" i="1"/>
  <c r="Z8" i="1" s="1"/>
  <c r="AA8" i="1" s="1"/>
  <c r="AB8" i="1" s="1"/>
  <c r="A9" i="1"/>
  <c r="Z9" i="1" s="1"/>
  <c r="AA9" i="1" s="1"/>
  <c r="AB9" i="1" s="1"/>
  <c r="A10" i="1"/>
  <c r="Z10" i="1" s="1"/>
  <c r="AA10" i="1" s="1"/>
  <c r="AB10" i="1" s="1"/>
  <c r="A11" i="1"/>
  <c r="Z11" i="1" s="1"/>
  <c r="AA11" i="1" s="1"/>
  <c r="AB11" i="1" s="1"/>
  <c r="A12" i="1"/>
  <c r="Z12" i="1" s="1"/>
  <c r="AA12" i="1" s="1"/>
  <c r="AB12" i="1" s="1"/>
  <c r="A13" i="1"/>
  <c r="Z13" i="1" s="1"/>
  <c r="AA13" i="1" s="1"/>
  <c r="AB13" i="1" s="1"/>
  <c r="A14" i="1"/>
  <c r="Z14" i="1" s="1"/>
  <c r="AA14" i="1" s="1"/>
  <c r="AB14" i="1" s="1"/>
  <c r="A15" i="1"/>
  <c r="Z15" i="1" s="1"/>
  <c r="AA15" i="1" s="1"/>
  <c r="AB15" i="1" s="1"/>
  <c r="A16" i="1"/>
  <c r="Z16" i="1" s="1"/>
  <c r="AA16" i="1" s="1"/>
  <c r="AB16" i="1" s="1"/>
  <c r="A17" i="1"/>
  <c r="Z17" i="1" s="1"/>
  <c r="A18" i="1"/>
  <c r="A20" i="1"/>
  <c r="A21" i="1"/>
  <c r="A22" i="1"/>
  <c r="A23" i="1"/>
  <c r="A3" i="1"/>
  <c r="Z3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  <c r="B22" i="1"/>
  <c r="B23" i="1"/>
  <c r="B3" i="1"/>
  <c r="AA17" i="1" l="1"/>
  <c r="AB17" i="1" s="1"/>
</calcChain>
</file>

<file path=xl/sharedStrings.xml><?xml version="1.0" encoding="utf-8"?>
<sst xmlns="http://schemas.openxmlformats.org/spreadsheetml/2006/main" count="9" uniqueCount="8">
  <si>
    <t>Input Voltage [V]:</t>
  </si>
  <si>
    <t>Output Voltage [V]</t>
  </si>
  <si>
    <t>PWM</t>
  </si>
  <si>
    <t>%</t>
  </si>
  <si>
    <t>V</t>
  </si>
  <si>
    <t>RPM</t>
  </si>
  <si>
    <t>Voltage</t>
  </si>
  <si>
    <t>RPM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</si>
</sst>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Voltage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Sheet1!$B$3:$B$23</c:f>
              <c:numCache>
                <c:formatCode>0</c:formatCode>
                <c:ptCount val="21"/>
                <c:pt idx="0">
                  <c:v>255</c:v>
                </c:pt>
                <c:pt idx="1">
                  <c:v>242.25</c:v>
                </c:pt>
                <c:pt idx="2">
                  <c:v>229.5</c:v>
                </c:pt>
                <c:pt idx="3">
                  <c:v>216.75</c:v>
                </c:pt>
                <c:pt idx="4">
                  <c:v>204</c:v>
                </c:pt>
                <c:pt idx="5">
                  <c:v>191.25</c:v>
                </c:pt>
                <c:pt idx="6">
                  <c:v>178.5</c:v>
                </c:pt>
                <c:pt idx="7">
                  <c:v>165.75</c:v>
                </c:pt>
                <c:pt idx="8">
                  <c:v>153</c:v>
                </c:pt>
                <c:pt idx="9">
                  <c:v>140.25</c:v>
                </c:pt>
                <c:pt idx="10">
                  <c:v>127.5</c:v>
                </c:pt>
                <c:pt idx="11">
                  <c:v>114.75</c:v>
                </c:pt>
                <c:pt idx="12">
                  <c:v>102</c:v>
                </c:pt>
                <c:pt idx="13">
                  <c:v>89.25</c:v>
                </c:pt>
                <c:pt idx="14">
                  <c:v>76.5</c:v>
                </c:pt>
                <c:pt idx="15">
                  <c:v>63.75</c:v>
                </c:pt>
                <c:pt idx="16">
                  <c:v>51</c:v>
                </c:pt>
                <c:pt idx="17">
                  <c:v>38.25</c:v>
                </c:pt>
                <c:pt idx="18">
                  <c:v>25.5</c:v>
                </c:pt>
                <c:pt idx="19">
                  <c:v>12.75</c:v>
                </c:pt>
                <c:pt idx="20">
                  <c:v>0</c:v>
                </c:pt>
              </c:numCache>
            </c:numRef>
          </c:xVal>
          <c:yVal>
            <c:numRef>
              <c:f>Sheet1!$A$3:$A$23</c:f>
              <c:numCache>
                <c:formatCode>General</c:formatCode>
                <c:ptCount val="21"/>
                <c:pt idx="0">
                  <c:v>6</c:v>
                </c:pt>
                <c:pt idx="1">
                  <c:v>5.6999999999999993</c:v>
                </c:pt>
                <c:pt idx="2">
                  <c:v>5.4</c:v>
                </c:pt>
                <c:pt idx="3">
                  <c:v>5.0999999999999996</c:v>
                </c:pt>
                <c:pt idx="4">
                  <c:v>4.8000000000000007</c:v>
                </c:pt>
                <c:pt idx="5">
                  <c:v>4.5</c:v>
                </c:pt>
                <c:pt idx="6">
                  <c:v>4.1999999999999993</c:v>
                </c:pt>
                <c:pt idx="7">
                  <c:v>3.9000000000000004</c:v>
                </c:pt>
                <c:pt idx="8">
                  <c:v>3.5999999999999996</c:v>
                </c:pt>
                <c:pt idx="9">
                  <c:v>3.3000000000000003</c:v>
                </c:pt>
                <c:pt idx="10">
                  <c:v>3</c:v>
                </c:pt>
                <c:pt idx="11">
                  <c:v>2.7</c:v>
                </c:pt>
                <c:pt idx="12">
                  <c:v>2.4000000000000004</c:v>
                </c:pt>
                <c:pt idx="13">
                  <c:v>2.0999999999999996</c:v>
                </c:pt>
                <c:pt idx="14">
                  <c:v>1.7999999999999998</c:v>
                </c:pt>
                <c:pt idx="15">
                  <c:v>1.5</c:v>
                </c:pt>
                <c:pt idx="16">
                  <c:v>1.2000000000000002</c:v>
                </c:pt>
                <c:pt idx="17">
                  <c:v>0.89999999999999991</c:v>
                </c:pt>
                <c:pt idx="18">
                  <c:v>0.60000000000000009</c:v>
                </c:pt>
                <c:pt idx="19">
                  <c:v>0.30000000000000004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B0-4E72-BFB1-A29311FA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920991"/>
        <c:axId val="638281759"/>
      </c:scatterChart>
      <c:valAx>
        <c:axId val="52692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281759"/>
        <c:crosses val="autoZero"/>
        <c:crossBetween val="midCat"/>
        <c:majorUnit val="25"/>
        <c:minorUnit val="5"/>
      </c:valAx>
      <c:valAx>
        <c:axId val="6382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20991"/>
        <c:crosses val="autoZero"/>
        <c:crossBetween val="midCat"/>
        <c:majorUnit val="0.5"/>
        <c:min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Spec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>
                    <a:alpha val="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Sheet1!$O$3:$O$6</c:f>
              <c:numCache>
                <c:formatCode>General</c:formatCode>
                <c:ptCount val="4"/>
                <c:pt idx="0">
                  <c:v>3</c:v>
                </c:pt>
                <c:pt idx="1">
                  <c:v>3.4</c:v>
                </c:pt>
                <c:pt idx="2">
                  <c:v>3.7</c:v>
                </c:pt>
                <c:pt idx="3">
                  <c:v>4.2</c:v>
                </c:pt>
              </c:numCache>
            </c:numRef>
          </c:xVal>
          <c:yVal>
            <c:numRef>
              <c:f>Sheet1!$P$3:$P$6</c:f>
              <c:numCache>
                <c:formatCode>General</c:formatCode>
                <c:ptCount val="4"/>
                <c:pt idx="0">
                  <c:v>30000</c:v>
                </c:pt>
                <c:pt idx="1">
                  <c:v>35500</c:v>
                </c:pt>
                <c:pt idx="2">
                  <c:v>39500</c:v>
                </c:pt>
                <c:pt idx="3">
                  <c:v>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4B-40C9-B961-EA42DF6DEAAD}"/>
            </c:ext>
          </c:extLst>
        </c:ser>
        <c:ser>
          <c:idx val="1"/>
          <c:order val="1"/>
          <c:tx>
            <c:v>Extrapolated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Sheet1!$Z$3:$Z$18</c:f>
              <c:numCache>
                <c:formatCode>General</c:formatCode>
                <c:ptCount val="16"/>
                <c:pt idx="0">
                  <c:v>6</c:v>
                </c:pt>
                <c:pt idx="1">
                  <c:v>5.6999999999999993</c:v>
                </c:pt>
                <c:pt idx="2">
                  <c:v>5.4</c:v>
                </c:pt>
                <c:pt idx="3">
                  <c:v>5.0999999999999996</c:v>
                </c:pt>
                <c:pt idx="4">
                  <c:v>4.8000000000000007</c:v>
                </c:pt>
                <c:pt idx="5">
                  <c:v>4.5</c:v>
                </c:pt>
                <c:pt idx="6">
                  <c:v>4.1999999999999993</c:v>
                </c:pt>
                <c:pt idx="7">
                  <c:v>3.9000000000000004</c:v>
                </c:pt>
                <c:pt idx="8">
                  <c:v>3.5999999999999996</c:v>
                </c:pt>
                <c:pt idx="9">
                  <c:v>3.3000000000000003</c:v>
                </c:pt>
                <c:pt idx="10">
                  <c:v>3</c:v>
                </c:pt>
                <c:pt idx="11">
                  <c:v>2.7</c:v>
                </c:pt>
                <c:pt idx="12">
                  <c:v>2.4000000000000004</c:v>
                </c:pt>
                <c:pt idx="13">
                  <c:v>2.0999999999999996</c:v>
                </c:pt>
                <c:pt idx="14">
                  <c:v>1.7999999999999998</c:v>
                </c:pt>
                <c:pt idx="15">
                  <c:v>1.6</c:v>
                </c:pt>
              </c:numCache>
            </c:numRef>
          </c:xVal>
          <c:yVal>
            <c:numRef>
              <c:f>Sheet1!$AA$3:$AA$18</c:f>
              <c:numCache>
                <c:formatCode>General</c:formatCode>
                <c:ptCount val="16"/>
                <c:pt idx="0">
                  <c:v>61003.902172201633</c:v>
                </c:pt>
                <c:pt idx="1">
                  <c:v>58708.937594713847</c:v>
                </c:pt>
                <c:pt idx="2">
                  <c:v>56289.86198063918</c:v>
                </c:pt>
                <c:pt idx="3">
                  <c:v>53732.480228612185</c:v>
                </c:pt>
                <c:pt idx="4">
                  <c:v>51020.013399301271</c:v>
                </c:pt>
                <c:pt idx="5">
                  <c:v>48132.430886564063</c:v>
                </c:pt>
                <c:pt idx="6">
                  <c:v>45045.551830494871</c:v>
                </c:pt>
                <c:pt idx="7">
                  <c:v>41729.812940393051</c:v>
                </c:pt>
                <c:pt idx="8">
                  <c:v>38148.54211366368</c:v>
                </c:pt>
                <c:pt idx="9">
                  <c:v>34255.479084393664</c:v>
                </c:pt>
                <c:pt idx="10">
                  <c:v>29991.11101958857</c:v>
                </c:pt>
                <c:pt idx="11">
                  <c:v>25277.070828026102</c:v>
                </c:pt>
                <c:pt idx="12">
                  <c:v>20007.222246688194</c:v>
                </c:pt>
                <c:pt idx="13">
                  <c:v>14032.760677881794</c:v>
                </c:pt>
                <c:pt idx="14">
                  <c:v>7135.7509610506058</c:v>
                </c:pt>
                <c:pt idx="15">
                  <c:v>1865.9023797127047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4B-40C9-B961-EA42DF6DE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334799"/>
        <c:axId val="637699535"/>
      </c:scatterChart>
      <c:valAx>
        <c:axId val="51333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9535"/>
        <c:crosses val="autoZero"/>
        <c:crossBetween val="midCat"/>
        <c:majorUnit val="0.5"/>
      </c:valAx>
      <c:valAx>
        <c:axId val="6376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olidFill>
                      <a:schemeClr val="tx1"/>
                    </a:solidFill>
                  </a:rPr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33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403225</xdr:colOff>
      <xdr:row>1</xdr:row>
      <xdr:rowOff>222250</xdr:rowOff>
    </xdr:from>
    <xdr:to>
      <xdr:col>13</xdr:col>
      <xdr:colOff>98425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BE4C9-9E6D-4FF3-A9FD-7D84EED23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22225</xdr:colOff>
      <xdr:row>1</xdr:row>
      <xdr:rowOff>50800</xdr:rowOff>
    </xdr:from>
    <xdr:to>
      <xdr:col>24</xdr:col>
      <xdr:colOff>327025</xdr:colOff>
      <xdr:row>15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8EC6BC-B817-4ACF-8BF2-5419BBA85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workbookViewId="0">
      <selection activeCell="Z19" sqref="Z19:AB19"/>
    </sheetView>
  </sheetViews>
  <sheetFormatPr defaultRowHeight="14.5" x14ac:dyDescent="0.35"/>
  <cols>
    <col min="1" max="1" width="10.6328125" customWidth="1"/>
  </cols>
  <sheetData>
    <row r="1" spans="1:28" ht="29" x14ac:dyDescent="0.35">
      <c r="A1" s="2" t="s">
        <v>0</v>
      </c>
      <c r="B1" s="4">
        <v>6</v>
      </c>
    </row>
    <row r="2" spans="1:28" ht="29" x14ac:dyDescent="0.35">
      <c r="A2" s="1" t="s">
        <v>1</v>
      </c>
      <c r="B2" s="3" t="s">
        <v>2</v>
      </c>
      <c r="C2" s="3" t="s">
        <v>3</v>
      </c>
      <c r="O2" t="s">
        <v>4</v>
      </c>
      <c r="P2" t="s">
        <v>5</v>
      </c>
      <c r="Z2" t="s">
        <v>6</v>
      </c>
      <c r="AA2" t="s">
        <v>5</v>
      </c>
      <c r="AB2" t="s">
        <v>7</v>
      </c>
    </row>
    <row r="3" spans="1:28" x14ac:dyDescent="0.35">
      <c r="A3">
        <f>$B$1*(B3/255)</f>
        <v>6</v>
      </c>
      <c r="B3" s="5">
        <f>255*(C3/100)</f>
        <v>255</v>
      </c>
      <c r="C3">
        <v>100</v>
      </c>
      <c r="O3">
        <v>3</v>
      </c>
      <c r="P3">
        <v>30000</v>
      </c>
      <c r="Z3">
        <f>A3</f>
        <v>6</v>
      </c>
      <c r="AA3">
        <f>44742*(LN(Z3))-19163</f>
        <v>61003.902172201633</v>
      </c>
      <c r="AB3">
        <f>AA3/20</f>
        <v>3050.1951086100817</v>
      </c>
    </row>
    <row r="4" spans="1:28" x14ac:dyDescent="0.35">
      <c r="A4">
        <f>$B$1*(B4/255)</f>
        <v>5.6999999999999993</v>
      </c>
      <c r="B4" s="5">
        <f t="shared" ref="B4:B23" si="0">255*(C4/100)</f>
        <v>242.25</v>
      </c>
      <c r="C4">
        <v>95</v>
      </c>
      <c r="O4">
        <v>3.4</v>
      </c>
      <c r="P4">
        <v>35500</v>
      </c>
      <c r="Z4">
        <f t="shared" ref="Z4:Z17" si="1">A4</f>
        <v>5.6999999999999993</v>
      </c>
      <c r="AA4">
        <f t="shared" ref="AA4:AA16" si="2">44742*(LN(Z4))-19163</f>
        <v>58708.937594713847</v>
      </c>
      <c r="AB4">
        <f t="shared" ref="AB4:AB17" si="3">AA4/20</f>
        <v>2935.4468797356922</v>
      </c>
    </row>
    <row r="5" spans="1:28" x14ac:dyDescent="0.35">
      <c r="A5">
        <f t="shared" ref="A5:A23" si="4">$B$1*(B5/255)</f>
        <v>5.4</v>
      </c>
      <c r="B5" s="5">
        <f t="shared" si="0"/>
        <v>229.5</v>
      </c>
      <c r="C5">
        <v>90</v>
      </c>
      <c r="O5">
        <v>3.7</v>
      </c>
      <c r="P5">
        <v>39500</v>
      </c>
      <c r="Z5">
        <f t="shared" si="1"/>
        <v>5.4</v>
      </c>
      <c r="AA5">
        <f t="shared" si="2"/>
        <v>56289.86198063918</v>
      </c>
      <c r="AB5">
        <f t="shared" si="3"/>
        <v>2814.493099031959</v>
      </c>
    </row>
    <row r="6" spans="1:28" x14ac:dyDescent="0.35">
      <c r="A6">
        <f t="shared" si="4"/>
        <v>5.0999999999999996</v>
      </c>
      <c r="B6" s="5">
        <f t="shared" si="0"/>
        <v>216.75</v>
      </c>
      <c r="C6">
        <v>85</v>
      </c>
      <c r="O6">
        <v>4.2</v>
      </c>
      <c r="P6">
        <v>45000</v>
      </c>
      <c r="Z6">
        <f t="shared" si="1"/>
        <v>5.0999999999999996</v>
      </c>
      <c r="AA6">
        <f t="shared" si="2"/>
        <v>53732.480228612185</v>
      </c>
      <c r="AB6">
        <f t="shared" si="3"/>
        <v>2686.6240114306092</v>
      </c>
    </row>
    <row r="7" spans="1:28" x14ac:dyDescent="0.35">
      <c r="A7">
        <f t="shared" si="4"/>
        <v>4.8000000000000007</v>
      </c>
      <c r="B7" s="5">
        <f t="shared" si="0"/>
        <v>204</v>
      </c>
      <c r="C7">
        <v>80</v>
      </c>
      <c r="Z7">
        <f t="shared" si="1"/>
        <v>4.8000000000000007</v>
      </c>
      <c r="AA7">
        <f t="shared" si="2"/>
        <v>51020.013399301271</v>
      </c>
      <c r="AB7">
        <f t="shared" si="3"/>
        <v>2551.0006699650635</v>
      </c>
    </row>
    <row r="8" spans="1:28" x14ac:dyDescent="0.35">
      <c r="A8">
        <f t="shared" si="4"/>
        <v>4.5</v>
      </c>
      <c r="B8" s="5">
        <f t="shared" si="0"/>
        <v>191.25</v>
      </c>
      <c r="C8">
        <v>75</v>
      </c>
      <c r="Z8">
        <f t="shared" si="1"/>
        <v>4.5</v>
      </c>
      <c r="AA8">
        <f t="shared" si="2"/>
        <v>48132.430886564063</v>
      </c>
      <c r="AB8">
        <f t="shared" si="3"/>
        <v>2406.6215443282031</v>
      </c>
    </row>
    <row r="9" spans="1:28" x14ac:dyDescent="0.35">
      <c r="A9">
        <f t="shared" si="4"/>
        <v>4.1999999999999993</v>
      </c>
      <c r="B9" s="5">
        <f t="shared" si="0"/>
        <v>178.5</v>
      </c>
      <c r="C9">
        <v>70</v>
      </c>
      <c r="Z9">
        <f t="shared" si="1"/>
        <v>4.1999999999999993</v>
      </c>
      <c r="AA9">
        <f t="shared" si="2"/>
        <v>45045.551830494871</v>
      </c>
      <c r="AB9">
        <f t="shared" si="3"/>
        <v>2252.2775915247435</v>
      </c>
    </row>
    <row r="10" spans="1:28" x14ac:dyDescent="0.35">
      <c r="A10">
        <f t="shared" si="4"/>
        <v>3.9000000000000004</v>
      </c>
      <c r="B10" s="5">
        <f t="shared" si="0"/>
        <v>165.75</v>
      </c>
      <c r="C10">
        <v>65</v>
      </c>
      <c r="Z10">
        <f t="shared" si="1"/>
        <v>3.9000000000000004</v>
      </c>
      <c r="AA10">
        <f t="shared" si="2"/>
        <v>41729.812940393051</v>
      </c>
      <c r="AB10">
        <f t="shared" si="3"/>
        <v>2086.4906470196524</v>
      </c>
    </row>
    <row r="11" spans="1:28" x14ac:dyDescent="0.35">
      <c r="A11">
        <f t="shared" si="4"/>
        <v>3.5999999999999996</v>
      </c>
      <c r="B11" s="5">
        <f t="shared" si="0"/>
        <v>153</v>
      </c>
      <c r="C11">
        <v>60</v>
      </c>
      <c r="Z11">
        <f t="shared" si="1"/>
        <v>3.5999999999999996</v>
      </c>
      <c r="AA11">
        <f t="shared" si="2"/>
        <v>38148.54211366368</v>
      </c>
      <c r="AB11">
        <f t="shared" si="3"/>
        <v>1907.427105683184</v>
      </c>
    </row>
    <row r="12" spans="1:28" x14ac:dyDescent="0.35">
      <c r="A12">
        <f t="shared" si="4"/>
        <v>3.3000000000000003</v>
      </c>
      <c r="B12" s="5">
        <f t="shared" si="0"/>
        <v>140.25</v>
      </c>
      <c r="C12">
        <v>55</v>
      </c>
      <c r="Z12">
        <f t="shared" si="1"/>
        <v>3.3000000000000003</v>
      </c>
      <c r="AA12">
        <f t="shared" si="2"/>
        <v>34255.479084393664</v>
      </c>
      <c r="AB12">
        <f t="shared" si="3"/>
        <v>1712.7739542196832</v>
      </c>
    </row>
    <row r="13" spans="1:28" x14ac:dyDescent="0.35">
      <c r="A13">
        <f t="shared" si="4"/>
        <v>3</v>
      </c>
      <c r="B13" s="5">
        <f t="shared" si="0"/>
        <v>127.5</v>
      </c>
      <c r="C13">
        <v>50</v>
      </c>
      <c r="Z13">
        <f t="shared" si="1"/>
        <v>3</v>
      </c>
      <c r="AA13">
        <f t="shared" si="2"/>
        <v>29991.11101958857</v>
      </c>
      <c r="AB13">
        <f t="shared" si="3"/>
        <v>1499.5555509794285</v>
      </c>
    </row>
    <row r="14" spans="1:28" x14ac:dyDescent="0.35">
      <c r="A14">
        <f t="shared" si="4"/>
        <v>2.7</v>
      </c>
      <c r="B14" s="5">
        <f t="shared" si="0"/>
        <v>114.75</v>
      </c>
      <c r="C14">
        <v>45</v>
      </c>
      <c r="Z14">
        <f t="shared" si="1"/>
        <v>2.7</v>
      </c>
      <c r="AA14">
        <f t="shared" si="2"/>
        <v>25277.070828026102</v>
      </c>
      <c r="AB14">
        <f t="shared" si="3"/>
        <v>1263.8535414013052</v>
      </c>
    </row>
    <row r="15" spans="1:28" x14ac:dyDescent="0.35">
      <c r="A15">
        <f t="shared" si="4"/>
        <v>2.4000000000000004</v>
      </c>
      <c r="B15" s="5">
        <f t="shared" si="0"/>
        <v>102</v>
      </c>
      <c r="C15">
        <v>40</v>
      </c>
      <c r="Z15">
        <f t="shared" si="1"/>
        <v>2.4000000000000004</v>
      </c>
      <c r="AA15">
        <f t="shared" si="2"/>
        <v>20007.222246688194</v>
      </c>
      <c r="AB15">
        <f t="shared" si="3"/>
        <v>1000.3611123344097</v>
      </c>
    </row>
    <row r="16" spans="1:28" x14ac:dyDescent="0.35">
      <c r="A16">
        <f t="shared" si="4"/>
        <v>2.0999999999999996</v>
      </c>
      <c r="B16" s="5">
        <f t="shared" si="0"/>
        <v>89.25</v>
      </c>
      <c r="C16">
        <v>35</v>
      </c>
      <c r="Z16">
        <f t="shared" si="1"/>
        <v>2.0999999999999996</v>
      </c>
      <c r="AA16">
        <f t="shared" si="2"/>
        <v>14032.760677881794</v>
      </c>
      <c r="AB16">
        <f t="shared" si="3"/>
        <v>701.63803389408963</v>
      </c>
    </row>
    <row r="17" spans="1:28" x14ac:dyDescent="0.35">
      <c r="A17">
        <f t="shared" si="4"/>
        <v>1.7999999999999998</v>
      </c>
      <c r="B17" s="5">
        <f t="shared" si="0"/>
        <v>76.5</v>
      </c>
      <c r="C17">
        <v>30</v>
      </c>
      <c r="Z17">
        <f t="shared" si="1"/>
        <v>1.7999999999999998</v>
      </c>
      <c r="AA17">
        <f>44742*(LN(Z17))-19163</f>
        <v>7135.7509610506058</v>
      </c>
      <c r="AB17">
        <f t="shared" si="3"/>
        <v>356.78754805253027</v>
      </c>
    </row>
    <row r="18" spans="1:28" x14ac:dyDescent="0.35">
      <c r="A18">
        <f t="shared" si="4"/>
        <v>1.5</v>
      </c>
      <c r="B18" s="5">
        <f t="shared" si="0"/>
        <v>63.75</v>
      </c>
      <c r="C18">
        <v>25</v>
      </c>
      <c r="Z18">
        <v>1.6</v>
      </c>
      <c r="AA18">
        <f>44742*(LN(Z18))-19163</f>
        <v>1865.9023797127047</v>
      </c>
      <c r="AB18">
        <f t="shared" ref="AB18" si="5">AA18/20</f>
        <v>93.295118985635241</v>
      </c>
    </row>
    <row r="19" spans="1:28" x14ac:dyDescent="0.35">
      <c r="A19">
        <f>$B$1*(B19/255)</f>
        <v>1.2000000000000002</v>
      </c>
      <c r="B19" s="5">
        <f t="shared" si="0"/>
        <v>51</v>
      </c>
      <c r="C19">
        <v>20</v>
      </c>
    </row>
    <row r="20" spans="1:28" x14ac:dyDescent="0.35">
      <c r="A20">
        <f t="shared" si="4"/>
        <v>0.89999999999999991</v>
      </c>
      <c r="B20" s="5">
        <f t="shared" si="0"/>
        <v>38.25</v>
      </c>
      <c r="C20">
        <v>15</v>
      </c>
    </row>
    <row r="21" spans="1:28" x14ac:dyDescent="0.35">
      <c r="A21">
        <f t="shared" si="4"/>
        <v>0.60000000000000009</v>
      </c>
      <c r="B21" s="5">
        <f t="shared" si="0"/>
        <v>25.5</v>
      </c>
      <c r="C21">
        <v>10</v>
      </c>
    </row>
    <row r="22" spans="1:28" x14ac:dyDescent="0.35">
      <c r="A22">
        <f t="shared" si="4"/>
        <v>0.30000000000000004</v>
      </c>
      <c r="B22" s="5">
        <f t="shared" si="0"/>
        <v>12.75</v>
      </c>
      <c r="C22">
        <v>5</v>
      </c>
    </row>
    <row r="23" spans="1:28" x14ac:dyDescent="0.35">
      <c r="A23">
        <f t="shared" si="4"/>
        <v>0</v>
      </c>
      <c r="B23" s="5">
        <f t="shared" si="0"/>
        <v>0</v>
      </c>
      <c r="C23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2015-06-05T18:17:20Z</dcterms:created>
  <dcterms:modified xsi:type="dcterms:W3CDTF">2026-04-06T01:11:21Z</dcterms:modified>
</cp:coreProperties>
</file>